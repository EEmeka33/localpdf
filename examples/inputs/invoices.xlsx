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5FD1"/>
      </patternFill>
    </fill>
    <fill>
      <patternFill patternType="solid">
        <fgColor rgb="00E8EEFB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'Summary'!$A$2:$A$13</f>
            </numRef>
          </cat>
          <val>
            <numRef>
              <f>'Summary'!$B$2:$B$13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'Summary'!$A$2:$A$13</f>
            </numRef>
          </cat>
          <val>
            <numRef>
              <f>'Summary'!$C$2:$C$13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6" customWidth="1" min="4" max="4"/>
    <col width="14" customWidth="1" min="5" max="5"/>
    <col width="16" customWidth="1" min="6" max="6"/>
  </cols>
  <sheetData>
    <row r="1">
      <c r="A1" s="1" t="inlineStr">
        <is>
          <t>Invoice register – FY2026</t>
        </is>
      </c>
    </row>
    <row r="2">
      <c r="A2" s="2" t="inlineStr">
        <is>
          <t>Invoice</t>
        </is>
      </c>
      <c r="B2" s="2" t="inlineStr">
        <is>
          <t>Customer</t>
        </is>
      </c>
      <c r="C2" s="2" t="inlineStr">
        <is>
          <t>Product</t>
        </is>
      </c>
      <c r="D2" s="2" t="inlineStr">
        <is>
          <t>Qty</t>
        </is>
      </c>
      <c r="E2" s="2" t="inlineStr">
        <is>
          <t>Unit price</t>
        </is>
      </c>
      <c r="F2" s="2" t="inlineStr">
        <is>
          <t>Total</t>
        </is>
      </c>
    </row>
    <row r="3">
      <c r="A3" s="3" t="inlineStr">
        <is>
          <t>INV-2026001</t>
        </is>
      </c>
      <c r="B3" s="3" t="inlineStr">
        <is>
          <t>Chloé Schmidt</t>
        </is>
      </c>
      <c r="C3" s="3" t="inlineStr">
        <is>
          <t>Mounting rail</t>
        </is>
      </c>
      <c r="D3" s="3" t="n">
        <v>7</v>
      </c>
      <c r="E3" s="4" t="n">
        <v>3873.52</v>
      </c>
      <c r="F3" s="4">
        <f>D3*E3</f>
        <v/>
      </c>
    </row>
    <row r="4">
      <c r="A4" s="3" t="inlineStr">
        <is>
          <t>INV-2026002</t>
        </is>
      </c>
      <c r="B4" s="3" t="inlineStr">
        <is>
          <t>Lucas Schmidt</t>
        </is>
      </c>
      <c r="C4" s="3" t="inlineStr">
        <is>
          <t>Cable kit</t>
        </is>
      </c>
      <c r="D4" s="3" t="n">
        <v>14</v>
      </c>
      <c r="E4" s="4" t="n">
        <v>3994.31</v>
      </c>
      <c r="F4" s="4">
        <f>D4*E4</f>
        <v/>
      </c>
    </row>
    <row r="5">
      <c r="A5" s="3" t="inlineStr">
        <is>
          <t>INV-2026003</t>
        </is>
      </c>
      <c r="B5" s="3" t="inlineStr">
        <is>
          <t>Hiro García</t>
        </is>
      </c>
      <c r="C5" s="3" t="inlineStr">
        <is>
          <t>Smart meter</t>
        </is>
      </c>
      <c r="D5" s="3" t="n">
        <v>5</v>
      </c>
      <c r="E5" s="4" t="n">
        <v>2128.4</v>
      </c>
      <c r="F5" s="4">
        <f>D5*E5</f>
        <v/>
      </c>
    </row>
    <row r="6">
      <c r="A6" s="3" t="inlineStr">
        <is>
          <t>INV-2026004</t>
        </is>
      </c>
      <c r="B6" s="3" t="inlineStr">
        <is>
          <t>Hiro Rossi</t>
        </is>
      </c>
      <c r="C6" s="3" t="inlineStr">
        <is>
          <t>Monitoring licence</t>
        </is>
      </c>
      <c r="D6" s="3" t="n">
        <v>9</v>
      </c>
      <c r="E6" s="4" t="n">
        <v>1589.14</v>
      </c>
      <c r="F6" s="4">
        <f>D6*E6</f>
        <v/>
      </c>
    </row>
    <row r="7">
      <c r="A7" s="3" t="inlineStr">
        <is>
          <t>INV-2026005</t>
        </is>
      </c>
      <c r="B7" s="3" t="inlineStr">
        <is>
          <t>Noah Schmidt</t>
        </is>
      </c>
      <c r="C7" s="3" t="inlineStr">
        <is>
          <t>Installation (hours)</t>
        </is>
      </c>
      <c r="D7" s="3" t="n">
        <v>15</v>
      </c>
      <c r="E7" s="4" t="n">
        <v>1276.44</v>
      </c>
      <c r="F7" s="4">
        <f>D7*E7</f>
        <v/>
      </c>
    </row>
    <row r="8">
      <c r="A8" s="3" t="inlineStr">
        <is>
          <t>INV-2026006</t>
        </is>
      </c>
      <c r="B8" s="3" t="inlineStr">
        <is>
          <t>Lena Dubois</t>
        </is>
      </c>
      <c r="C8" s="3" t="inlineStr">
        <is>
          <t>Smart meter</t>
        </is>
      </c>
      <c r="D8" s="3" t="n">
        <v>11</v>
      </c>
      <c r="E8" s="4" t="n">
        <v>4667.21</v>
      </c>
      <c r="F8" s="4">
        <f>D8*E8</f>
        <v/>
      </c>
    </row>
    <row r="9">
      <c r="A9" s="3" t="inlineStr">
        <is>
          <t>INV-2026007</t>
        </is>
      </c>
      <c r="B9" s="3" t="inlineStr">
        <is>
          <t>Lena Okafor</t>
        </is>
      </c>
      <c r="C9" s="3" t="inlineStr">
        <is>
          <t>Installation (hours)</t>
        </is>
      </c>
      <c r="D9" s="3" t="n">
        <v>10</v>
      </c>
      <c r="E9" s="4" t="n">
        <v>2763.45</v>
      </c>
      <c r="F9" s="4">
        <f>D9*E9</f>
        <v/>
      </c>
    </row>
    <row r="10">
      <c r="A10" s="3" t="inlineStr">
        <is>
          <t>INV-2026008</t>
        </is>
      </c>
      <c r="B10" s="3" t="inlineStr">
        <is>
          <t>Inès García</t>
        </is>
      </c>
      <c r="C10" s="3" t="inlineStr">
        <is>
          <t>Monitoring licence</t>
        </is>
      </c>
      <c r="D10" s="3" t="n">
        <v>1</v>
      </c>
      <c r="E10" s="4" t="n">
        <v>2645.48</v>
      </c>
      <c r="F10" s="4">
        <f>D10*E10</f>
        <v/>
      </c>
    </row>
    <row r="11">
      <c r="A11" s="3" t="inlineStr">
        <is>
          <t>INV-2026009</t>
        </is>
      </c>
      <c r="B11" s="3" t="inlineStr">
        <is>
          <t>Ethan García</t>
        </is>
      </c>
      <c r="C11" s="3" t="inlineStr">
        <is>
          <t>Cable kit</t>
        </is>
      </c>
      <c r="D11" s="3" t="n">
        <v>4</v>
      </c>
      <c r="E11" s="4" t="n">
        <v>3264.85</v>
      </c>
      <c r="F11" s="4">
        <f>D11*E11</f>
        <v/>
      </c>
    </row>
    <row r="12">
      <c r="A12" s="3" t="inlineStr">
        <is>
          <t>INV-2026010</t>
        </is>
      </c>
      <c r="B12" s="3" t="inlineStr">
        <is>
          <t>Omar Tanaka</t>
        </is>
      </c>
      <c r="C12" s="3" t="inlineStr">
        <is>
          <t>Charging station</t>
        </is>
      </c>
      <c r="D12" s="3" t="n">
        <v>7</v>
      </c>
      <c r="E12" s="4" t="n">
        <v>2045.93</v>
      </c>
      <c r="F12" s="4">
        <f>D12*E12</f>
        <v/>
      </c>
    </row>
    <row r="13">
      <c r="A13" s="3" t="inlineStr">
        <is>
          <t>INV-2026011</t>
        </is>
      </c>
      <c r="B13" s="3" t="inlineStr">
        <is>
          <t>Inès Schmidt</t>
        </is>
      </c>
      <c r="C13" s="3" t="inlineStr">
        <is>
          <t>Solar inverter</t>
        </is>
      </c>
      <c r="D13" s="3" t="n">
        <v>13</v>
      </c>
      <c r="E13" s="4" t="n">
        <v>3481.43</v>
      </c>
      <c r="F13" s="4">
        <f>D13*E13</f>
        <v/>
      </c>
    </row>
    <row r="14">
      <c r="A14" s="3" t="inlineStr">
        <is>
          <t>INV-2026012</t>
        </is>
      </c>
      <c r="B14" s="3" t="inlineStr">
        <is>
          <t>Amélie Dubois</t>
        </is>
      </c>
      <c r="C14" s="3" t="inlineStr">
        <is>
          <t>Charging station</t>
        </is>
      </c>
      <c r="D14" s="3" t="n">
        <v>23</v>
      </c>
      <c r="E14" s="4" t="n">
        <v>1221.65</v>
      </c>
      <c r="F14" s="4">
        <f>D14*E14</f>
        <v/>
      </c>
    </row>
    <row r="15">
      <c r="A15" s="3" t="inlineStr">
        <is>
          <t>INV-2026013</t>
        </is>
      </c>
      <c r="B15" s="3" t="inlineStr">
        <is>
          <t>Ethan Dos Santos</t>
        </is>
      </c>
      <c r="C15" s="3" t="inlineStr">
        <is>
          <t>Maintenance plan</t>
        </is>
      </c>
      <c r="D15" s="3" t="n">
        <v>14</v>
      </c>
      <c r="E15" s="4" t="n">
        <v>4000.53</v>
      </c>
      <c r="F15" s="4">
        <f>D15*E15</f>
        <v/>
      </c>
    </row>
    <row r="16">
      <c r="A16" s="3" t="inlineStr">
        <is>
          <t>INV-2026014</t>
        </is>
      </c>
      <c r="B16" s="3" t="inlineStr">
        <is>
          <t>Omar Kowalski</t>
        </is>
      </c>
      <c r="C16" s="3" t="inlineStr">
        <is>
          <t>Cable kit</t>
        </is>
      </c>
      <c r="D16" s="3" t="n">
        <v>1</v>
      </c>
      <c r="E16" s="4" t="n">
        <v>194.42</v>
      </c>
      <c r="F16" s="4">
        <f>D16*E16</f>
        <v/>
      </c>
    </row>
    <row r="17">
      <c r="A17" s="3" t="inlineStr">
        <is>
          <t>INV-2026015</t>
        </is>
      </c>
      <c r="B17" s="3" t="inlineStr">
        <is>
          <t>Lucas Okafor</t>
        </is>
      </c>
      <c r="C17" s="3" t="inlineStr">
        <is>
          <t>Installation (hours)</t>
        </is>
      </c>
      <c r="D17" s="3" t="n">
        <v>11</v>
      </c>
      <c r="E17" s="4" t="n">
        <v>100.12</v>
      </c>
      <c r="F17" s="4">
        <f>D17*E17</f>
        <v/>
      </c>
    </row>
    <row r="18">
      <c r="A18" s="3" t="inlineStr">
        <is>
          <t>INV-2026016</t>
        </is>
      </c>
      <c r="B18" s="3" t="inlineStr">
        <is>
          <t>Lucas Kowalski</t>
        </is>
      </c>
      <c r="C18" s="3" t="inlineStr">
        <is>
          <t>Charging station</t>
        </is>
      </c>
      <c r="D18" s="3" t="n">
        <v>9</v>
      </c>
      <c r="E18" s="4" t="n">
        <v>2995.22</v>
      </c>
      <c r="F18" s="4">
        <f>D18*E18</f>
        <v/>
      </c>
    </row>
    <row r="19">
      <c r="A19" s="3" t="inlineStr">
        <is>
          <t>INV-2026017</t>
        </is>
      </c>
      <c r="B19" s="3" t="inlineStr">
        <is>
          <t>Ethan Okafor</t>
        </is>
      </c>
      <c r="C19" s="3" t="inlineStr">
        <is>
          <t>Charging station</t>
        </is>
      </c>
      <c r="D19" s="3" t="n">
        <v>23</v>
      </c>
      <c r="E19" s="4" t="n">
        <v>912.92</v>
      </c>
      <c r="F19" s="4">
        <f>D19*E19</f>
        <v/>
      </c>
    </row>
    <row r="20">
      <c r="A20" s="3" t="inlineStr">
        <is>
          <t>INV-2026018</t>
        </is>
      </c>
      <c r="B20" s="3" t="inlineStr">
        <is>
          <t>Amélie Okafor</t>
        </is>
      </c>
      <c r="C20" s="3" t="inlineStr">
        <is>
          <t>Mounting rail</t>
        </is>
      </c>
      <c r="D20" s="3" t="n">
        <v>11</v>
      </c>
      <c r="E20" s="4" t="n">
        <v>4667.52</v>
      </c>
      <c r="F20" s="4">
        <f>D20*E20</f>
        <v/>
      </c>
    </row>
    <row r="21">
      <c r="A21" s="3" t="inlineStr">
        <is>
          <t>INV-2026019</t>
        </is>
      </c>
      <c r="B21" s="3" t="inlineStr">
        <is>
          <t>Omar Nguyen</t>
        </is>
      </c>
      <c r="C21" s="3" t="inlineStr">
        <is>
          <t>Maintenance plan</t>
        </is>
      </c>
      <c r="D21" s="3" t="n">
        <v>22</v>
      </c>
      <c r="E21" s="4" t="n">
        <v>832.17</v>
      </c>
      <c r="F21" s="4">
        <f>D21*E21</f>
        <v/>
      </c>
    </row>
    <row r="22">
      <c r="A22" s="3" t="inlineStr">
        <is>
          <t>INV-2026020</t>
        </is>
      </c>
      <c r="B22" s="3" t="inlineStr">
        <is>
          <t>Maya Okafor</t>
        </is>
      </c>
      <c r="C22" s="3" t="inlineStr">
        <is>
          <t>Maintenance plan</t>
        </is>
      </c>
      <c r="D22" s="3" t="n">
        <v>14</v>
      </c>
      <c r="E22" s="4" t="n">
        <v>3421.1</v>
      </c>
      <c r="F22" s="4">
        <f>D22*E22</f>
        <v/>
      </c>
    </row>
    <row r="23">
      <c r="A23" s="3" t="inlineStr">
        <is>
          <t>INV-2026021</t>
        </is>
      </c>
      <c r="B23" s="3" t="inlineStr">
        <is>
          <t>Inès Dos Santos</t>
        </is>
      </c>
      <c r="C23" s="3" t="inlineStr">
        <is>
          <t>Charging station</t>
        </is>
      </c>
      <c r="D23" s="3" t="n">
        <v>5</v>
      </c>
      <c r="E23" s="4" t="n">
        <v>532.05</v>
      </c>
      <c r="F23" s="4">
        <f>D23*E23</f>
        <v/>
      </c>
    </row>
    <row r="24">
      <c r="A24" s="3" t="inlineStr">
        <is>
          <t>INV-2026022</t>
        </is>
      </c>
      <c r="B24" s="3" t="inlineStr">
        <is>
          <t>Maya García</t>
        </is>
      </c>
      <c r="C24" s="3" t="inlineStr">
        <is>
          <t>Solar inverter</t>
        </is>
      </c>
      <c r="D24" s="3" t="n">
        <v>6</v>
      </c>
      <c r="E24" s="4" t="n">
        <v>2647.86</v>
      </c>
      <c r="F24" s="4">
        <f>D24*E24</f>
        <v/>
      </c>
    </row>
    <row r="25">
      <c r="A25" s="3" t="inlineStr">
        <is>
          <t>INV-2026023</t>
        </is>
      </c>
      <c r="B25" s="3" t="inlineStr">
        <is>
          <t>Lena Nguyen</t>
        </is>
      </c>
      <c r="C25" s="3" t="inlineStr">
        <is>
          <t>Heat pump</t>
        </is>
      </c>
      <c r="D25" s="3" t="n">
        <v>22</v>
      </c>
      <c r="E25" s="4" t="n">
        <v>3187.7</v>
      </c>
      <c r="F25" s="4">
        <f>D25*E25</f>
        <v/>
      </c>
    </row>
    <row r="26">
      <c r="A26" s="3" t="inlineStr">
        <is>
          <t>INV-2026024</t>
        </is>
      </c>
      <c r="B26" s="3" t="inlineStr">
        <is>
          <t>Ethan Schmidt</t>
        </is>
      </c>
      <c r="C26" s="3" t="inlineStr">
        <is>
          <t>Cable kit</t>
        </is>
      </c>
      <c r="D26" s="3" t="n">
        <v>20</v>
      </c>
      <c r="E26" s="4" t="n">
        <v>2310.33</v>
      </c>
      <c r="F26" s="4">
        <f>D26*E26</f>
        <v/>
      </c>
    </row>
    <row r="27">
      <c r="A27" s="3" t="inlineStr">
        <is>
          <t>INV-2026025</t>
        </is>
      </c>
      <c r="B27" s="3" t="inlineStr">
        <is>
          <t>Omar Schmidt</t>
        </is>
      </c>
      <c r="C27" s="3" t="inlineStr">
        <is>
          <t>Installation (hours)</t>
        </is>
      </c>
      <c r="D27" s="3" t="n">
        <v>2</v>
      </c>
      <c r="E27" s="4" t="n">
        <v>3094.61</v>
      </c>
      <c r="F27" s="4">
        <f>D27*E27</f>
        <v/>
      </c>
    </row>
    <row r="28">
      <c r="A28" s="3" t="inlineStr">
        <is>
          <t>INV-2026026</t>
        </is>
      </c>
      <c r="B28" s="3" t="inlineStr">
        <is>
          <t>Sofia Martin</t>
        </is>
      </c>
      <c r="C28" s="3" t="inlineStr">
        <is>
          <t>Heat pump</t>
        </is>
      </c>
      <c r="D28" s="3" t="n">
        <v>12</v>
      </c>
      <c r="E28" s="4" t="n">
        <v>1229.69</v>
      </c>
      <c r="F28" s="4">
        <f>D28*E28</f>
        <v/>
      </c>
    </row>
    <row r="29">
      <c r="A29" s="3" t="inlineStr">
        <is>
          <t>INV-2026027</t>
        </is>
      </c>
      <c r="B29" s="3" t="inlineStr">
        <is>
          <t>Omar Nguyen</t>
        </is>
      </c>
      <c r="C29" s="3" t="inlineStr">
        <is>
          <t>Cable kit</t>
        </is>
      </c>
      <c r="D29" s="3" t="n">
        <v>9</v>
      </c>
      <c r="E29" s="4" t="n">
        <v>2466.33</v>
      </c>
      <c r="F29" s="4">
        <f>D29*E29</f>
        <v/>
      </c>
    </row>
    <row r="30">
      <c r="A30" s="3" t="inlineStr">
        <is>
          <t>INV-2026028</t>
        </is>
      </c>
      <c r="B30" s="3" t="inlineStr">
        <is>
          <t>Jonas García</t>
        </is>
      </c>
      <c r="C30" s="3" t="inlineStr">
        <is>
          <t>Installation (hours)</t>
        </is>
      </c>
      <c r="D30" s="3" t="n">
        <v>7</v>
      </c>
      <c r="E30" s="4" t="n">
        <v>2798.64</v>
      </c>
      <c r="F30" s="4">
        <f>D30*E30</f>
        <v/>
      </c>
    </row>
    <row r="31">
      <c r="A31" s="3" t="inlineStr">
        <is>
          <t>INV-2026029</t>
        </is>
      </c>
      <c r="B31" s="3" t="inlineStr">
        <is>
          <t>Chloé Okafor</t>
        </is>
      </c>
      <c r="C31" s="3" t="inlineStr">
        <is>
          <t>Charging station</t>
        </is>
      </c>
      <c r="D31" s="3" t="n">
        <v>22</v>
      </c>
      <c r="E31" s="4" t="n">
        <v>2561.92</v>
      </c>
      <c r="F31" s="4">
        <f>D31*E31</f>
        <v/>
      </c>
    </row>
    <row r="32">
      <c r="A32" s="3" t="inlineStr">
        <is>
          <t>INV-2026030</t>
        </is>
      </c>
      <c r="B32" s="3" t="inlineStr">
        <is>
          <t>Maya Kowalski</t>
        </is>
      </c>
      <c r="C32" s="3" t="inlineStr">
        <is>
          <t>Maintenance plan</t>
        </is>
      </c>
      <c r="D32" s="3" t="n">
        <v>3</v>
      </c>
      <c r="E32" s="4" t="n">
        <v>4096.84</v>
      </c>
      <c r="F32" s="4">
        <f>D32*E32</f>
        <v/>
      </c>
    </row>
    <row r="33">
      <c r="A33" s="3" t="inlineStr">
        <is>
          <t>INV-2026031</t>
        </is>
      </c>
      <c r="B33" s="3" t="inlineStr">
        <is>
          <t>Lena Dos Santos</t>
        </is>
      </c>
      <c r="C33" s="3" t="inlineStr">
        <is>
          <t>Cable kit</t>
        </is>
      </c>
      <c r="D33" s="3" t="n">
        <v>16</v>
      </c>
      <c r="E33" s="4" t="n">
        <v>1536.32</v>
      </c>
      <c r="F33" s="4">
        <f>D33*E33</f>
        <v/>
      </c>
    </row>
    <row r="34">
      <c r="A34" s="3" t="inlineStr">
        <is>
          <t>INV-2026032</t>
        </is>
      </c>
      <c r="B34" s="3" t="inlineStr">
        <is>
          <t>Ethan Schmidt</t>
        </is>
      </c>
      <c r="C34" s="3" t="inlineStr">
        <is>
          <t>Mounting rail</t>
        </is>
      </c>
      <c r="D34" s="3" t="n">
        <v>3</v>
      </c>
      <c r="E34" s="4" t="n">
        <v>4746.68</v>
      </c>
      <c r="F34" s="4">
        <f>D34*E34</f>
        <v/>
      </c>
    </row>
    <row r="35">
      <c r="A35" s="3" t="inlineStr">
        <is>
          <t>INV-2026033</t>
        </is>
      </c>
      <c r="B35" s="3" t="inlineStr">
        <is>
          <t>Sofia Dubois</t>
        </is>
      </c>
      <c r="C35" s="3" t="inlineStr">
        <is>
          <t>Charging station</t>
        </is>
      </c>
      <c r="D35" s="3" t="n">
        <v>17</v>
      </c>
      <c r="E35" s="4" t="n">
        <v>4169.82</v>
      </c>
      <c r="F35" s="4">
        <f>D35*E35</f>
        <v/>
      </c>
    </row>
    <row r="36">
      <c r="A36" s="3" t="inlineStr">
        <is>
          <t>INV-2026034</t>
        </is>
      </c>
      <c r="B36" s="3" t="inlineStr">
        <is>
          <t>Inès Okafor</t>
        </is>
      </c>
      <c r="C36" s="3" t="inlineStr">
        <is>
          <t>Maintenance plan</t>
        </is>
      </c>
      <c r="D36" s="3" t="n">
        <v>7</v>
      </c>
      <c r="E36" s="4" t="n">
        <v>153.17</v>
      </c>
      <c r="F36" s="4">
        <f>D36*E36</f>
        <v/>
      </c>
    </row>
    <row r="37">
      <c r="A37" s="3" t="inlineStr">
        <is>
          <t>INV-2026035</t>
        </is>
      </c>
      <c r="B37" s="3" t="inlineStr">
        <is>
          <t>Lucas Nguyen</t>
        </is>
      </c>
      <c r="C37" s="3" t="inlineStr">
        <is>
          <t>Monitoring licence</t>
        </is>
      </c>
      <c r="D37" s="3" t="n">
        <v>17</v>
      </c>
      <c r="E37" s="4" t="n">
        <v>4108.49</v>
      </c>
      <c r="F37" s="4">
        <f>D37*E37</f>
        <v/>
      </c>
    </row>
    <row r="38">
      <c r="A38" s="3" t="inlineStr">
        <is>
          <t>INV-2026036</t>
        </is>
      </c>
      <c r="B38" s="3" t="inlineStr">
        <is>
          <t>Sofia Tanaka</t>
        </is>
      </c>
      <c r="C38" s="3" t="inlineStr">
        <is>
          <t>Smart meter</t>
        </is>
      </c>
      <c r="D38" s="3" t="n">
        <v>9</v>
      </c>
      <c r="E38" s="4" t="n">
        <v>3727.13</v>
      </c>
      <c r="F38" s="4">
        <f>D38*E38</f>
        <v/>
      </c>
    </row>
    <row r="39">
      <c r="A39" s="3" t="inlineStr">
        <is>
          <t>INV-2026037</t>
        </is>
      </c>
      <c r="B39" s="3" t="inlineStr">
        <is>
          <t>Jonas Kowalski</t>
        </is>
      </c>
      <c r="C39" s="3" t="inlineStr">
        <is>
          <t>Mounting rail</t>
        </is>
      </c>
      <c r="D39" s="3" t="n">
        <v>18</v>
      </c>
      <c r="E39" s="4" t="n">
        <v>3261.58</v>
      </c>
      <c r="F39" s="4">
        <f>D39*E39</f>
        <v/>
      </c>
    </row>
    <row r="40">
      <c r="A40" s="3" t="inlineStr">
        <is>
          <t>INV-2026038</t>
        </is>
      </c>
      <c r="B40" s="3" t="inlineStr">
        <is>
          <t>Ethan Schmidt</t>
        </is>
      </c>
      <c r="C40" s="3" t="inlineStr">
        <is>
          <t>Monitoring licence</t>
        </is>
      </c>
      <c r="D40" s="3" t="n">
        <v>18</v>
      </c>
      <c r="E40" s="4" t="n">
        <v>2958.91</v>
      </c>
      <c r="F40" s="4">
        <f>D40*E40</f>
        <v/>
      </c>
    </row>
    <row r="41">
      <c r="A41" s="3" t="inlineStr">
        <is>
          <t>INV-2026039</t>
        </is>
      </c>
      <c r="B41" s="3" t="inlineStr">
        <is>
          <t>Lena Nguyen</t>
        </is>
      </c>
      <c r="C41" s="3" t="inlineStr">
        <is>
          <t>Mounting rail</t>
        </is>
      </c>
      <c r="D41" s="3" t="n">
        <v>20</v>
      </c>
      <c r="E41" s="4" t="n">
        <v>2653.01</v>
      </c>
      <c r="F41" s="4">
        <f>D41*E41</f>
        <v/>
      </c>
    </row>
    <row r="42">
      <c r="A42" s="3" t="inlineStr">
        <is>
          <t>INV-2026040</t>
        </is>
      </c>
      <c r="B42" s="3" t="inlineStr">
        <is>
          <t>Sofia Rossi</t>
        </is>
      </c>
      <c r="C42" s="3" t="inlineStr">
        <is>
          <t>Mounting rail</t>
        </is>
      </c>
      <c r="D42" s="3" t="n">
        <v>22</v>
      </c>
      <c r="E42" s="4" t="n">
        <v>2756.53</v>
      </c>
      <c r="F42" s="4">
        <f>D42*E42</f>
        <v/>
      </c>
    </row>
    <row r="43">
      <c r="A43" t="inlineStr"/>
      <c r="B43" t="inlineStr"/>
      <c r="C43" t="inlineStr"/>
      <c r="D43" t="inlineStr"/>
      <c r="E43" t="inlineStr">
        <is>
          <t>TOTAL</t>
        </is>
      </c>
      <c r="F43" s="5">
        <f>SUM(F3:F42)</f>
        <v/>
      </c>
    </row>
  </sheetData>
  <mergeCells count="1">
    <mergeCell ref="A1:F1"/>
  </mergeCells>
  <printOptions gridLines="0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Costs</t>
        </is>
      </c>
      <c r="D1" t="inlineStr">
        <is>
          <t>Margin %</t>
        </is>
      </c>
    </row>
    <row r="2">
      <c r="A2" t="inlineStr">
        <is>
          <t>Jan</t>
        </is>
      </c>
      <c r="B2" t="n">
        <v>89050</v>
      </c>
      <c r="C2" t="n">
        <v>86748</v>
      </c>
      <c r="D2" s="6">
        <f>(B2-C2)/B2</f>
        <v/>
      </c>
    </row>
    <row r="3">
      <c r="A3" t="inlineStr">
        <is>
          <t>Feb</t>
        </is>
      </c>
      <c r="B3" t="n">
        <v>158470</v>
      </c>
      <c r="C3" t="n">
        <v>157434</v>
      </c>
      <c r="D3" s="6">
        <f>(B3-C3)/B3</f>
        <v/>
      </c>
    </row>
    <row r="4">
      <c r="A4" t="inlineStr">
        <is>
          <t>Mar</t>
        </is>
      </c>
      <c r="B4" t="n">
        <v>126920</v>
      </c>
      <c r="C4" t="n">
        <v>68243</v>
      </c>
      <c r="D4" s="6">
        <f>(B4-C4)/B4</f>
        <v/>
      </c>
    </row>
    <row r="5">
      <c r="A5" t="inlineStr">
        <is>
          <t>Apr</t>
        </is>
      </c>
      <c r="B5" t="n">
        <v>150138</v>
      </c>
      <c r="C5" t="n">
        <v>120820</v>
      </c>
      <c r="D5" s="6">
        <f>(B5-C5)/B5</f>
        <v/>
      </c>
    </row>
    <row r="6">
      <c r="A6" t="inlineStr">
        <is>
          <t>May</t>
        </is>
      </c>
      <c r="B6" t="n">
        <v>173493</v>
      </c>
      <c r="C6" t="n">
        <v>66775</v>
      </c>
      <c r="D6" s="6">
        <f>(B6-C6)/B6</f>
        <v/>
      </c>
    </row>
    <row r="7">
      <c r="A7" t="inlineStr">
        <is>
          <t>Jun</t>
        </is>
      </c>
      <c r="B7" t="n">
        <v>199876</v>
      </c>
      <c r="C7" t="n">
        <v>72058</v>
      </c>
      <c r="D7" s="6">
        <f>(B7-C7)/B7</f>
        <v/>
      </c>
    </row>
    <row r="8">
      <c r="A8" t="inlineStr">
        <is>
          <t>Jul</t>
        </is>
      </c>
      <c r="B8" t="n">
        <v>128908</v>
      </c>
      <c r="C8" t="n">
        <v>140830</v>
      </c>
      <c r="D8" s="6">
        <f>(B8-C8)/B8</f>
        <v/>
      </c>
    </row>
    <row r="9">
      <c r="A9" t="inlineStr">
        <is>
          <t>Aug</t>
        </is>
      </c>
      <c r="B9" t="n">
        <v>94062</v>
      </c>
      <c r="C9" t="n">
        <v>148482</v>
      </c>
      <c r="D9" s="6">
        <f>(B9-C9)/B9</f>
        <v/>
      </c>
    </row>
    <row r="10">
      <c r="A10" t="inlineStr">
        <is>
          <t>Sep</t>
        </is>
      </c>
      <c r="B10" t="n">
        <v>128662</v>
      </c>
      <c r="C10" t="n">
        <v>139119</v>
      </c>
      <c r="D10" s="6">
        <f>(B10-C10)/B10</f>
        <v/>
      </c>
    </row>
    <row r="11">
      <c r="A11" t="inlineStr">
        <is>
          <t>Oct</t>
        </is>
      </c>
      <c r="B11" t="n">
        <v>120343</v>
      </c>
      <c r="C11" t="n">
        <v>104252</v>
      </c>
      <c r="D11" s="6">
        <f>(B11-C11)/B11</f>
        <v/>
      </c>
    </row>
    <row r="12">
      <c r="A12" t="inlineStr">
        <is>
          <t>Nov</t>
        </is>
      </c>
      <c r="B12" t="n">
        <v>208383</v>
      </c>
      <c r="C12" t="n">
        <v>121574</v>
      </c>
      <c r="D12" s="6">
        <f>(B12-C12)/B12</f>
        <v/>
      </c>
    </row>
    <row r="13">
      <c r="A13" t="inlineStr">
        <is>
          <t>Dec</t>
        </is>
      </c>
      <c r="B13" t="n">
        <v>87604</v>
      </c>
      <c r="C13" t="n">
        <v>89406</v>
      </c>
      <c r="D13" s="6">
        <f>(B13-C13)/B13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2026-10-29T10:47:02Z</dcterms:created>
  <dcterms:modified xmlns:dcterms="http://purl.org/dc/terms/" xmlns:xsi="http://www.w3.org/2001/XMLSchema-instance" xsi:type="dcterms:W3CDTF">2026-10-29T10:47:02Z</dcterms:modified>
</cp:coreProperties>
</file>